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enhao/Downloads/"/>
    </mc:Choice>
  </mc:AlternateContent>
  <xr:revisionPtr revIDLastSave="0" documentId="13_ncr:1_{560A3DA9-D685-6249-9D3B-FCAAD38494B9}" xr6:coauthVersionLast="47" xr6:coauthVersionMax="47" xr10:uidLastSave="{00000000-0000-0000-0000-000000000000}"/>
  <bookViews>
    <workbookView xWindow="0" yWindow="760" windowWidth="30240" windowHeight="17660" xr2:uid="{C949F4B7-2111-3944-B96F-46AC167AE2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1" i="1" l="1"/>
  <c r="I31" i="1"/>
  <c r="H25" i="1"/>
  <c r="I25" i="1"/>
  <c r="I40" i="1"/>
  <c r="H40" i="1"/>
  <c r="G40" i="1"/>
  <c r="F40" i="1"/>
  <c r="E40" i="1"/>
  <c r="D40" i="1"/>
  <c r="C40" i="1"/>
  <c r="B40" i="1"/>
  <c r="G37" i="1"/>
  <c r="F37" i="1"/>
  <c r="E37" i="1"/>
  <c r="D37" i="1"/>
  <c r="C37" i="1"/>
  <c r="I37" i="1" s="1"/>
  <c r="B37" i="1"/>
  <c r="G34" i="1"/>
  <c r="F34" i="1"/>
  <c r="E34" i="1"/>
  <c r="I34" i="1" s="1"/>
  <c r="D34" i="1"/>
  <c r="C34" i="1"/>
  <c r="B34" i="1"/>
  <c r="H34" i="1" s="1"/>
  <c r="G31" i="1"/>
  <c r="F31" i="1"/>
  <c r="E31" i="1"/>
  <c r="D31" i="1"/>
  <c r="C31" i="1"/>
  <c r="B31" i="1"/>
  <c r="C28" i="1"/>
  <c r="D28" i="1"/>
  <c r="E28" i="1"/>
  <c r="I28" i="1" s="1"/>
  <c r="F28" i="1"/>
  <c r="G28" i="1"/>
  <c r="B28" i="1"/>
  <c r="H28" i="1" s="1"/>
  <c r="C25" i="1"/>
  <c r="D25" i="1"/>
  <c r="E25" i="1"/>
  <c r="F25" i="1"/>
  <c r="G25" i="1"/>
  <c r="B25" i="1"/>
  <c r="I23" i="1"/>
  <c r="I24" i="1"/>
  <c r="I26" i="1"/>
  <c r="I27" i="1"/>
  <c r="I29" i="1"/>
  <c r="I30" i="1"/>
  <c r="I32" i="1"/>
  <c r="I33" i="1"/>
  <c r="I35" i="1"/>
  <c r="I36" i="1"/>
  <c r="I38" i="1"/>
  <c r="I39" i="1"/>
  <c r="I21" i="1"/>
  <c r="H23" i="1"/>
  <c r="H24" i="1"/>
  <c r="H26" i="1"/>
  <c r="H27" i="1"/>
  <c r="H29" i="1"/>
  <c r="H30" i="1"/>
  <c r="H32" i="1"/>
  <c r="H33" i="1"/>
  <c r="H35" i="1"/>
  <c r="H36" i="1"/>
  <c r="H37" i="1"/>
  <c r="H38" i="1"/>
  <c r="H39" i="1"/>
  <c r="H21" i="1"/>
</calcChain>
</file>

<file path=xl/sharedStrings.xml><?xml version="1.0" encoding="utf-8"?>
<sst xmlns="http://schemas.openxmlformats.org/spreadsheetml/2006/main" count="6" uniqueCount="2">
  <si>
    <t>Retrieval Noise</t>
  </si>
  <si>
    <t>Random Noise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</si>
</sst>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737306946423981"/>
          <c:y val="6.2696850393700793E-2"/>
          <c:w val="0.82207131007733825"/>
          <c:h val="0.80935476815398077"/>
        </c:manualLayout>
      </c:layout>
      <c:barChart>
        <c:barDir val="col"/>
        <c:grouping val="clustered"/>
        <c:varyColors val="0"/>
        <c:ser>
          <c:idx val="1"/>
          <c:order val="0"/>
          <c:tx>
            <c:v>Standard RALM</c:v>
          </c:tx>
          <c:spPr>
            <a:solidFill>
              <a:schemeClr val="accent4">
                <a:lumMod val="20000"/>
                <a:lumOff val="80000"/>
              </a:schemeClr>
            </a:solidFill>
            <a:ln w="15875"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orbel" panose="020B0503020204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Sheet1!$A$6:$A$7</c:f>
              <c:strCache>
                <c:ptCount val="2"/>
                <c:pt idx="0">
                  <c:v>Retrieval Noise</c:v>
                </c:pt>
                <c:pt idx="1">
                  <c:v>Random Noise</c:v>
                </c:pt>
              </c:strCache>
            </c:strRef>
          </c:cat>
          <c:val>
            <c:numRef>
              <c:f>Sheet1!$C$6:$C$7</c:f>
              <c:numCache>
                <c:formatCode>General</c:formatCode>
                <c:ptCount val="2"/>
                <c:pt idx="0">
                  <c:v>34.299999999999997</c:v>
                </c:pt>
                <c:pt idx="1">
                  <c:v>36.5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76-394A-8CE9-D1993208711F}"/>
            </c:ext>
          </c:extLst>
        </c:ser>
        <c:ser>
          <c:idx val="2"/>
          <c:order val="1"/>
          <c:tx>
            <c:v>RALM with CoN</c:v>
          </c:tx>
          <c:spPr>
            <a:solidFill>
              <a:schemeClr val="accent5">
                <a:lumMod val="20000"/>
                <a:lumOff val="80000"/>
                <a:alpha val="45000"/>
              </a:schemeClr>
            </a:solidFill>
            <a:ln w="15875"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orbel" panose="020B0503020204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Sheet1!$A$6:$A$7</c:f>
              <c:strCache>
                <c:ptCount val="2"/>
                <c:pt idx="0">
                  <c:v>Retrieval Noise</c:v>
                </c:pt>
                <c:pt idx="1">
                  <c:v>Random Noise</c:v>
                </c:pt>
              </c:strCache>
            </c:strRef>
          </c:cat>
          <c:val>
            <c:numRef>
              <c:f>Sheet1!$D$6:$D$7</c:f>
              <c:numCache>
                <c:formatCode>General</c:formatCode>
                <c:ptCount val="2"/>
                <c:pt idx="0">
                  <c:v>41.8</c:v>
                </c:pt>
                <c:pt idx="1">
                  <c:v>43.8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D76-394A-8CE9-D1993208711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72480256"/>
        <c:axId val="1570095487"/>
      </c:barChart>
      <c:catAx>
        <c:axId val="5724802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6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NQ</a:t>
                </a:r>
                <a:endParaRPr lang="en-US" sz="16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2.9636206453421748E-3"/>
              <c:y val="0.929606299212598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Corbel" panose="020B0503020204020204" pitchFamily="34" charset="0"/>
                <a:ea typeface="+mn-ea"/>
                <a:cs typeface="+mn-cs"/>
              </a:defRPr>
            </a:pPr>
            <a:endParaRPr lang="en-US"/>
          </a:p>
        </c:txPr>
        <c:crossAx val="1570095487"/>
        <c:crosses val="autoZero"/>
        <c:auto val="1"/>
        <c:lblAlgn val="ctr"/>
        <c:lblOffset val="100"/>
        <c:noMultiLvlLbl val="0"/>
      </c:catAx>
      <c:valAx>
        <c:axId val="1570095487"/>
        <c:scaling>
          <c:orientation val="minMax"/>
          <c:max val="50"/>
          <c:min val="20"/>
        </c:scaling>
        <c:delete val="0"/>
        <c:axPos val="l"/>
        <c:majorGridlines>
          <c:spPr>
            <a:ln w="9525" cap="flat" cmpd="sng" algn="ctr">
              <a:noFill/>
              <a:prstDash val="lg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400">
                    <a:solidFill>
                      <a:schemeClr val="tx1"/>
                    </a:solidFill>
                    <a:latin typeface="Corbel" panose="020B0503020204020204" pitchFamily="34" charset="0"/>
                  </a:rPr>
                  <a:t>EM</a:t>
                </a:r>
                <a:r>
                  <a:rPr lang="zh-CN" altLang="en-US" sz="1400">
                    <a:solidFill>
                      <a:schemeClr val="tx1"/>
                    </a:solidFill>
                    <a:latin typeface="Corbel" panose="020B0503020204020204" pitchFamily="34" charset="0"/>
                  </a:rPr>
                  <a:t> </a:t>
                </a:r>
                <a:r>
                  <a:rPr lang="en-US" altLang="zh-CN" sz="1400">
                    <a:solidFill>
                      <a:schemeClr val="tx1"/>
                    </a:solidFill>
                    <a:latin typeface="Corbel" panose="020B0503020204020204" pitchFamily="34" charset="0"/>
                  </a:rPr>
                  <a:t>score</a:t>
                </a:r>
                <a:endParaRPr lang="en-US" sz="1400">
                  <a:solidFill>
                    <a:schemeClr val="tx1"/>
                  </a:solidFill>
                  <a:latin typeface="Corbel" panose="020B0503020204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Corbel" panose="020B0503020204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72480256"/>
        <c:crosses val="autoZero"/>
        <c:crossBetween val="between"/>
      </c:valAx>
      <c:spPr>
        <a:noFill/>
        <a:ln w="15875"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432876936377018"/>
          <c:y val="6.5392971711869349E-2"/>
          <c:w val="0.82063319236430754"/>
          <c:h val="9.85712123406484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Corbel" panose="020B0503020204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737306946423981"/>
          <c:y val="6.2696850393700793E-2"/>
          <c:w val="0.82207131007733825"/>
          <c:h val="0.80935476815398077"/>
        </c:manualLayout>
      </c:layout>
      <c:barChart>
        <c:barDir val="col"/>
        <c:grouping val="clustered"/>
        <c:varyColors val="0"/>
        <c:ser>
          <c:idx val="1"/>
          <c:order val="0"/>
          <c:tx>
            <c:v>Standard RALM</c:v>
          </c:tx>
          <c:spPr>
            <a:solidFill>
              <a:schemeClr val="accent4">
                <a:lumMod val="20000"/>
                <a:lumOff val="80000"/>
              </a:schemeClr>
            </a:solidFill>
            <a:ln w="15875"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orbel" panose="020B0503020204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Sheet1!$A$10:$A$11</c:f>
              <c:strCache>
                <c:ptCount val="2"/>
                <c:pt idx="0">
                  <c:v>Retrieval Noise</c:v>
                </c:pt>
                <c:pt idx="1">
                  <c:v>Random Noise</c:v>
                </c:pt>
              </c:strCache>
            </c:strRef>
          </c:cat>
          <c:val>
            <c:numRef>
              <c:f>Sheet1!$C$10:$C$11</c:f>
              <c:numCache>
                <c:formatCode>General</c:formatCode>
                <c:ptCount val="2"/>
                <c:pt idx="0">
                  <c:v>55.3</c:v>
                </c:pt>
                <c:pt idx="1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05-3B43-85BD-14707A9879B1}"/>
            </c:ext>
          </c:extLst>
        </c:ser>
        <c:ser>
          <c:idx val="2"/>
          <c:order val="1"/>
          <c:tx>
            <c:v>RALM with CoN</c:v>
          </c:tx>
          <c:spPr>
            <a:solidFill>
              <a:schemeClr val="accent5">
                <a:lumMod val="20000"/>
                <a:lumOff val="80000"/>
                <a:alpha val="45000"/>
              </a:schemeClr>
            </a:solidFill>
            <a:ln w="15875"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orbel" panose="020B0503020204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Sheet1!$A$10:$A$11</c:f>
              <c:strCache>
                <c:ptCount val="2"/>
                <c:pt idx="0">
                  <c:v>Retrieval Noise</c:v>
                </c:pt>
                <c:pt idx="1">
                  <c:v>Random Noise</c:v>
                </c:pt>
              </c:strCache>
            </c:strRef>
          </c:cat>
          <c:val>
            <c:numRef>
              <c:f>Sheet1!$D$10:$D$11</c:f>
              <c:numCache>
                <c:formatCode>General</c:formatCode>
                <c:ptCount val="2"/>
                <c:pt idx="0" formatCode="0.0">
                  <c:v>64.3</c:v>
                </c:pt>
                <c:pt idx="1">
                  <c:v>69.099999999999994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D05-3B43-85BD-14707A9879B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72480256"/>
        <c:axId val="1570095487"/>
      </c:barChart>
      <c:catAx>
        <c:axId val="5724802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zh-CN" sz="16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TriviaQA</a:t>
                </a:r>
                <a:endParaRPr lang="en-US" sz="16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2.9636206453421748E-3"/>
              <c:y val="0.929606299212598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Corbel" panose="020B0503020204020204" pitchFamily="34" charset="0"/>
                <a:ea typeface="+mn-ea"/>
                <a:cs typeface="+mn-cs"/>
              </a:defRPr>
            </a:pPr>
            <a:endParaRPr lang="en-US"/>
          </a:p>
        </c:txPr>
        <c:crossAx val="1570095487"/>
        <c:crosses val="autoZero"/>
        <c:auto val="1"/>
        <c:lblAlgn val="ctr"/>
        <c:lblOffset val="100"/>
        <c:noMultiLvlLbl val="0"/>
      </c:catAx>
      <c:valAx>
        <c:axId val="1570095487"/>
        <c:scaling>
          <c:orientation val="minMax"/>
          <c:max val="75"/>
          <c:min val="45"/>
        </c:scaling>
        <c:delete val="0"/>
        <c:axPos val="l"/>
        <c:majorGridlines>
          <c:spPr>
            <a:ln w="9525" cap="flat" cmpd="sng" algn="ctr">
              <a:noFill/>
              <a:prstDash val="lg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400">
                    <a:solidFill>
                      <a:schemeClr val="tx1"/>
                    </a:solidFill>
                    <a:latin typeface="Corbel" panose="020B0503020204020204" pitchFamily="34" charset="0"/>
                  </a:rPr>
                  <a:t>EM</a:t>
                </a:r>
                <a:r>
                  <a:rPr lang="zh-CN" altLang="en-US" sz="1400">
                    <a:solidFill>
                      <a:schemeClr val="tx1"/>
                    </a:solidFill>
                    <a:latin typeface="Corbel" panose="020B0503020204020204" pitchFamily="34" charset="0"/>
                  </a:rPr>
                  <a:t> </a:t>
                </a:r>
                <a:r>
                  <a:rPr lang="en-US" altLang="zh-CN" sz="1400">
                    <a:solidFill>
                      <a:schemeClr val="tx1"/>
                    </a:solidFill>
                    <a:latin typeface="Corbel" panose="020B0503020204020204" pitchFamily="34" charset="0"/>
                  </a:rPr>
                  <a:t>score</a:t>
                </a:r>
                <a:endParaRPr lang="en-US" sz="1400">
                  <a:solidFill>
                    <a:schemeClr val="tx1"/>
                  </a:solidFill>
                  <a:latin typeface="Corbel" panose="020B0503020204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Corbel" panose="020B0503020204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72480256"/>
        <c:crosses val="autoZero"/>
        <c:crossBetween val="between"/>
      </c:valAx>
      <c:spPr>
        <a:noFill/>
        <a:ln w="15875"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4630203537952557"/>
          <c:y val="6.0882187359459716E-2"/>
          <c:w val="0.81996668095158531"/>
          <c:h val="9.88089624910118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Corbel" panose="020B0503020204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737306946423981"/>
          <c:y val="6.2696850393700793E-2"/>
          <c:w val="0.82207131007733825"/>
          <c:h val="0.80935476815398077"/>
        </c:manualLayout>
      </c:layout>
      <c:barChart>
        <c:barDir val="col"/>
        <c:grouping val="clustered"/>
        <c:varyColors val="0"/>
        <c:ser>
          <c:idx val="1"/>
          <c:order val="0"/>
          <c:tx>
            <c:v>Standard RALM</c:v>
          </c:tx>
          <c:spPr>
            <a:solidFill>
              <a:schemeClr val="accent4">
                <a:lumMod val="20000"/>
                <a:lumOff val="80000"/>
              </a:schemeClr>
            </a:solidFill>
            <a:ln w="15875"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orbel" panose="020B0503020204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Sheet1!$A$13:$A$14</c:f>
              <c:strCache>
                <c:ptCount val="2"/>
                <c:pt idx="0">
                  <c:v>Retrieval Noise</c:v>
                </c:pt>
                <c:pt idx="1">
                  <c:v>Random Noise</c:v>
                </c:pt>
              </c:strCache>
            </c:strRef>
          </c:cat>
          <c:val>
            <c:numRef>
              <c:f>Sheet1!$C$13:$C$14</c:f>
              <c:numCache>
                <c:formatCode>General</c:formatCode>
                <c:ptCount val="2"/>
                <c:pt idx="0">
                  <c:v>29.6</c:v>
                </c:pt>
                <c:pt idx="1">
                  <c:v>32.700000000000003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6F-4644-B36B-0D7F76E690C4}"/>
            </c:ext>
          </c:extLst>
        </c:ser>
        <c:ser>
          <c:idx val="2"/>
          <c:order val="1"/>
          <c:tx>
            <c:v>RALM with CoN</c:v>
          </c:tx>
          <c:spPr>
            <a:solidFill>
              <a:schemeClr val="accent5">
                <a:lumMod val="20000"/>
                <a:lumOff val="80000"/>
                <a:alpha val="44986"/>
              </a:schemeClr>
            </a:solidFill>
            <a:ln w="15875"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orbel" panose="020B0503020204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Sheet1!$A$13:$A$14</c:f>
              <c:strCache>
                <c:ptCount val="2"/>
                <c:pt idx="0">
                  <c:v>Retrieval Noise</c:v>
                </c:pt>
                <c:pt idx="1">
                  <c:v>Random Noise</c:v>
                </c:pt>
              </c:strCache>
            </c:strRef>
          </c:cat>
          <c:val>
            <c:numRef>
              <c:f>Sheet1!$D$13:$D$14</c:f>
              <c:numCache>
                <c:formatCode>General</c:formatCode>
                <c:ptCount val="2"/>
                <c:pt idx="0">
                  <c:v>36.85</c:v>
                </c:pt>
                <c:pt idx="1">
                  <c:v>41.26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D6F-4644-B36B-0D7F76E690C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72480256"/>
        <c:axId val="1570095487"/>
      </c:barChart>
      <c:catAx>
        <c:axId val="5724802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zh-CN" sz="16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WebQ</a:t>
                </a:r>
                <a:endParaRPr lang="en-US" sz="16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6.695016238697205E-3"/>
              <c:y val="0.929606299212598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Corbel" panose="020B0503020204020204" pitchFamily="34" charset="0"/>
                <a:ea typeface="+mn-ea"/>
                <a:cs typeface="+mn-cs"/>
              </a:defRPr>
            </a:pPr>
            <a:endParaRPr lang="en-US"/>
          </a:p>
        </c:txPr>
        <c:crossAx val="1570095487"/>
        <c:crosses val="autoZero"/>
        <c:auto val="1"/>
        <c:lblAlgn val="ctr"/>
        <c:lblOffset val="100"/>
        <c:noMultiLvlLbl val="0"/>
      </c:catAx>
      <c:valAx>
        <c:axId val="1570095487"/>
        <c:scaling>
          <c:orientation val="minMax"/>
          <c:max val="50"/>
          <c:min val="20"/>
        </c:scaling>
        <c:delete val="0"/>
        <c:axPos val="l"/>
        <c:majorGridlines>
          <c:spPr>
            <a:ln w="9525" cap="flat" cmpd="sng" algn="ctr">
              <a:noFill/>
              <a:prstDash val="lg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400">
                    <a:solidFill>
                      <a:schemeClr val="tx1"/>
                    </a:solidFill>
                    <a:latin typeface="Corbel" panose="020B0503020204020204" pitchFamily="34" charset="0"/>
                  </a:rPr>
                  <a:t>EM</a:t>
                </a:r>
                <a:r>
                  <a:rPr lang="zh-CN" altLang="en-US" sz="1400">
                    <a:solidFill>
                      <a:schemeClr val="tx1"/>
                    </a:solidFill>
                    <a:latin typeface="Corbel" panose="020B0503020204020204" pitchFamily="34" charset="0"/>
                  </a:rPr>
                  <a:t> </a:t>
                </a:r>
                <a:r>
                  <a:rPr lang="en-US" altLang="zh-CN" sz="1400">
                    <a:solidFill>
                      <a:schemeClr val="tx1"/>
                    </a:solidFill>
                    <a:latin typeface="Corbel" panose="020B0503020204020204" pitchFamily="34" charset="0"/>
                  </a:rPr>
                  <a:t>score</a:t>
                </a:r>
                <a:endParaRPr lang="en-US" sz="1400">
                  <a:solidFill>
                    <a:schemeClr val="tx1"/>
                  </a:solidFill>
                  <a:latin typeface="Corbel" panose="020B0503020204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Corbel" panose="020B0503020204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72480256"/>
        <c:crosses val="autoZero"/>
        <c:crossBetween val="between"/>
      </c:valAx>
      <c:spPr>
        <a:noFill/>
        <a:ln w="15875"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4630203537952557"/>
          <c:y val="6.5499473856090576E-2"/>
          <c:w val="0.82292619916998333"/>
          <c:h val="9.882579193729816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Corbel" panose="020B0503020204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266700</xdr:colOff>
      <xdr:row>2</xdr:row>
      <xdr:rowOff>82550</xdr:rowOff>
    </xdr:from>
    <xdr:to>
      <xdr:col>10</xdr:col>
      <xdr:colOff>419100</xdr:colOff>
      <xdr:row>15</xdr:row>
      <xdr:rowOff>184150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F6475F0-21E3-4BBC-09FB-FAD926D91E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660400</xdr:colOff>
      <xdr:row>2</xdr:row>
      <xdr:rowOff>88900</xdr:rowOff>
    </xdr:from>
    <xdr:to>
      <xdr:col>15</xdr:col>
      <xdr:colOff>812800</xdr:colOff>
      <xdr:row>15</xdr:row>
      <xdr:rowOff>190500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7A047FE-AB8D-3C43-9FFA-FA7A3F3800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292100</xdr:colOff>
      <xdr:row>2</xdr:row>
      <xdr:rowOff>101600</xdr:rowOff>
    </xdr:from>
    <xdr:to>
      <xdr:col>21</xdr:col>
      <xdr:colOff>444500</xdr:colOff>
      <xdr:row>16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96BAF6E-AB99-A042-BA1B-F28EAB26B2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C9362-0CF0-6441-A2F3-A372E8D8483A}">
  <dimension ref="A6:I41"/>
  <sheetViews>
    <sheetView tabSelected="1" topLeftCell="D1" zoomScale="111" workbookViewId="0">
      <selection activeCell="L27" sqref="L27"/>
    </sheetView>
  </sheetViews>
  <sheetFormatPr baseColWidth="10" defaultRowHeight="16" x14ac:dyDescent="0.2"/>
  <cols>
    <col min="1" max="1" width="15.83203125" customWidth="1"/>
  </cols>
  <sheetData>
    <row r="6" spans="1:4" x14ac:dyDescent="0.2">
      <c r="A6" t="s">
        <v>0</v>
      </c>
      <c r="B6">
        <v>28.8</v>
      </c>
      <c r="C6">
        <v>34.299999999999997</v>
      </c>
      <c r="D6">
        <v>41.8</v>
      </c>
    </row>
    <row r="7" spans="1:4" x14ac:dyDescent="0.2">
      <c r="A7" t="s">
        <v>1</v>
      </c>
      <c r="B7">
        <v>28.8</v>
      </c>
      <c r="C7">
        <v>36.5</v>
      </c>
      <c r="D7">
        <v>43.8</v>
      </c>
    </row>
    <row r="10" spans="1:4" x14ac:dyDescent="0.2">
      <c r="A10" t="s">
        <v>0</v>
      </c>
      <c r="B10">
        <v>68.2</v>
      </c>
      <c r="C10">
        <v>55.3</v>
      </c>
      <c r="D10" s="1">
        <v>64.3</v>
      </c>
    </row>
    <row r="11" spans="1:4" x14ac:dyDescent="0.2">
      <c r="A11" t="s">
        <v>1</v>
      </c>
      <c r="B11">
        <v>68.2</v>
      </c>
      <c r="C11">
        <v>61</v>
      </c>
      <c r="D11">
        <v>69.099999999999994</v>
      </c>
    </row>
    <row r="13" spans="1:4" x14ac:dyDescent="0.2">
      <c r="A13" t="s">
        <v>0</v>
      </c>
      <c r="B13">
        <v>30.12</v>
      </c>
      <c r="C13">
        <v>29.6</v>
      </c>
      <c r="D13">
        <v>36.85</v>
      </c>
    </row>
    <row r="14" spans="1:4" x14ac:dyDescent="0.2">
      <c r="A14" t="s">
        <v>1</v>
      </c>
      <c r="B14">
        <v>30.12</v>
      </c>
      <c r="C14">
        <v>32.700000000000003</v>
      </c>
      <c r="D14">
        <v>41.26</v>
      </c>
    </row>
    <row r="21" spans="2:9" x14ac:dyDescent="0.2">
      <c r="B21">
        <v>42.89</v>
      </c>
      <c r="C21">
        <v>49.44</v>
      </c>
      <c r="D21">
        <v>67.760000000000005</v>
      </c>
      <c r="E21">
        <v>72.8</v>
      </c>
      <c r="F21">
        <v>40.29</v>
      </c>
      <c r="G21">
        <v>56.44</v>
      </c>
      <c r="H21">
        <f>(B21+D21+F21)/3</f>
        <v>50.313333333333333</v>
      </c>
      <c r="I21">
        <f>(C21+E21+G21)/3</f>
        <v>59.56</v>
      </c>
    </row>
    <row r="23" spans="2:9" x14ac:dyDescent="0.2">
      <c r="B23">
        <v>34.28</v>
      </c>
      <c r="C23">
        <v>41.74</v>
      </c>
      <c r="D23">
        <v>55.3</v>
      </c>
      <c r="E23">
        <v>61.67</v>
      </c>
      <c r="F23">
        <v>29.58</v>
      </c>
      <c r="G23">
        <v>46.34</v>
      </c>
      <c r="H23">
        <f t="shared" ref="H22:H40" si="0">(B23+D23+F23)/3</f>
        <v>39.72</v>
      </c>
      <c r="I23">
        <f t="shared" ref="I22:I40" si="1">(C23+E23+G23)/3</f>
        <v>49.916666666666664</v>
      </c>
    </row>
    <row r="24" spans="2:9" x14ac:dyDescent="0.2">
      <c r="B24">
        <v>41.83</v>
      </c>
      <c r="C24">
        <v>49.58</v>
      </c>
      <c r="D24">
        <v>64.3</v>
      </c>
      <c r="E24">
        <v>70</v>
      </c>
      <c r="F24">
        <v>36.85</v>
      </c>
      <c r="G24">
        <v>53.07</v>
      </c>
      <c r="H24">
        <f t="shared" si="0"/>
        <v>47.66</v>
      </c>
      <c r="I24">
        <f t="shared" si="1"/>
        <v>57.550000000000004</v>
      </c>
    </row>
    <row r="25" spans="2:9" x14ac:dyDescent="0.2">
      <c r="B25" s="2">
        <f>B24-B23</f>
        <v>7.5499999999999972</v>
      </c>
      <c r="C25" s="2">
        <f t="shared" ref="C25:G25" si="2">C24-C23</f>
        <v>7.8399999999999963</v>
      </c>
      <c r="D25" s="2">
        <f t="shared" si="2"/>
        <v>9</v>
      </c>
      <c r="E25" s="2">
        <f t="shared" si="2"/>
        <v>8.3299999999999983</v>
      </c>
      <c r="F25" s="2">
        <f t="shared" si="2"/>
        <v>7.2700000000000031</v>
      </c>
      <c r="G25" s="2">
        <f t="shared" si="2"/>
        <v>6.7299999999999969</v>
      </c>
      <c r="H25" s="2">
        <f t="shared" ref="H25" si="3">H24-H23</f>
        <v>7.9399999999999977</v>
      </c>
      <c r="I25" s="2">
        <f t="shared" ref="I25" si="4">I24-I23</f>
        <v>7.63333333333334</v>
      </c>
    </row>
    <row r="26" spans="2:9" x14ac:dyDescent="0.2">
      <c r="B26">
        <v>54.28</v>
      </c>
      <c r="C26">
        <v>61.03</v>
      </c>
      <c r="D26">
        <v>73.83</v>
      </c>
      <c r="E26">
        <v>80.02</v>
      </c>
      <c r="F26">
        <v>35.46</v>
      </c>
      <c r="G26">
        <v>52.7</v>
      </c>
      <c r="H26">
        <f t="shared" si="0"/>
        <v>54.523333333333341</v>
      </c>
      <c r="I26">
        <f t="shared" si="1"/>
        <v>64.583333333333329</v>
      </c>
    </row>
    <row r="27" spans="2:9" x14ac:dyDescent="0.2">
      <c r="B27">
        <v>56.63</v>
      </c>
      <c r="C27">
        <v>63.23</v>
      </c>
      <c r="D27">
        <v>75.89</v>
      </c>
      <c r="E27">
        <v>81.239999999999995</v>
      </c>
      <c r="F27">
        <v>40.6</v>
      </c>
      <c r="G27">
        <v>56.54</v>
      </c>
      <c r="H27">
        <f t="shared" si="0"/>
        <v>57.706666666666671</v>
      </c>
      <c r="I27">
        <f t="shared" si="1"/>
        <v>67.00333333333333</v>
      </c>
    </row>
    <row r="28" spans="2:9" x14ac:dyDescent="0.2">
      <c r="B28" s="2">
        <f>B27-B26</f>
        <v>2.3500000000000014</v>
      </c>
      <c r="C28" s="2">
        <f t="shared" ref="C28:G28" si="5">C27-C26</f>
        <v>2.1999999999999957</v>
      </c>
      <c r="D28" s="2">
        <f t="shared" si="5"/>
        <v>2.0600000000000023</v>
      </c>
      <c r="E28" s="2">
        <f t="shared" si="5"/>
        <v>1.2199999999999989</v>
      </c>
      <c r="F28" s="2">
        <f t="shared" si="5"/>
        <v>5.1400000000000006</v>
      </c>
      <c r="G28" s="2">
        <f t="shared" si="5"/>
        <v>3.8399999999999963</v>
      </c>
      <c r="H28" s="2">
        <f t="shared" si="0"/>
        <v>3.1833333333333349</v>
      </c>
      <c r="I28" s="2">
        <f t="shared" si="1"/>
        <v>2.4199999999999968</v>
      </c>
    </row>
    <row r="29" spans="2:9" x14ac:dyDescent="0.2">
      <c r="B29">
        <v>61.44</v>
      </c>
      <c r="C29">
        <v>67.94</v>
      </c>
      <c r="D29">
        <v>78.44</v>
      </c>
      <c r="E29">
        <v>83.65</v>
      </c>
      <c r="F29">
        <v>37.01</v>
      </c>
      <c r="G29">
        <v>54.16</v>
      </c>
      <c r="H29">
        <f t="shared" si="0"/>
        <v>58.963333333333331</v>
      </c>
      <c r="I29">
        <f t="shared" si="1"/>
        <v>68.583333333333329</v>
      </c>
    </row>
    <row r="30" spans="2:9" x14ac:dyDescent="0.2">
      <c r="B30">
        <v>63.43</v>
      </c>
      <c r="C30">
        <v>69.33</v>
      </c>
      <c r="D30">
        <v>78.790000000000006</v>
      </c>
      <c r="E30">
        <v>84.07</v>
      </c>
      <c r="F30">
        <v>41.26</v>
      </c>
      <c r="G30">
        <v>56.91</v>
      </c>
      <c r="H30">
        <f t="shared" si="0"/>
        <v>61.16</v>
      </c>
      <c r="I30">
        <f t="shared" si="1"/>
        <v>70.103333333333325</v>
      </c>
    </row>
    <row r="31" spans="2:9" x14ac:dyDescent="0.2">
      <c r="B31" s="2">
        <f>B30-B29</f>
        <v>1.990000000000002</v>
      </c>
      <c r="C31" s="2">
        <f t="shared" ref="C31" si="6">C30-C29</f>
        <v>1.3900000000000006</v>
      </c>
      <c r="D31" s="2">
        <f t="shared" ref="D31" si="7">D30-D29</f>
        <v>0.35000000000000853</v>
      </c>
      <c r="E31" s="2">
        <f t="shared" ref="E31" si="8">E30-E29</f>
        <v>0.41999999999998749</v>
      </c>
      <c r="F31" s="2">
        <f t="shared" ref="F31" si="9">F30-F29</f>
        <v>4.25</v>
      </c>
      <c r="G31" s="2">
        <f t="shared" ref="G31" si="10">G30-G29</f>
        <v>2.75</v>
      </c>
      <c r="H31" s="2">
        <f t="shared" ref="H31" si="11">H30-H29</f>
        <v>2.1966666666666654</v>
      </c>
      <c r="I31" s="2">
        <f t="shared" ref="I31" si="12">I30-I29</f>
        <v>1.519999999999996</v>
      </c>
    </row>
    <row r="32" spans="2:9" x14ac:dyDescent="0.2">
      <c r="B32">
        <v>64.62</v>
      </c>
      <c r="C32">
        <v>71.12</v>
      </c>
      <c r="D32">
        <v>80.56</v>
      </c>
      <c r="E32">
        <v>86.76</v>
      </c>
      <c r="F32">
        <v>38.4</v>
      </c>
      <c r="G32">
        <v>55.6</v>
      </c>
      <c r="H32">
        <f t="shared" si="0"/>
        <v>61.193333333333335</v>
      </c>
      <c r="I32">
        <f t="shared" si="1"/>
        <v>71.16</v>
      </c>
    </row>
    <row r="33" spans="2:9" x14ac:dyDescent="0.2">
      <c r="B33">
        <v>65.91</v>
      </c>
      <c r="C33">
        <v>72.22</v>
      </c>
      <c r="D33">
        <v>81.72</v>
      </c>
      <c r="E33">
        <v>87.11</v>
      </c>
      <c r="F33">
        <v>42.16</v>
      </c>
      <c r="G33">
        <v>58.15</v>
      </c>
      <c r="H33">
        <f t="shared" si="0"/>
        <v>63.263333333333328</v>
      </c>
      <c r="I33">
        <f t="shared" si="1"/>
        <v>72.493333333333325</v>
      </c>
    </row>
    <row r="34" spans="2:9" x14ac:dyDescent="0.2">
      <c r="B34" s="2">
        <f>B33-B32</f>
        <v>1.289999999999992</v>
      </c>
      <c r="C34" s="2">
        <f t="shared" ref="C34" si="13">C33-C32</f>
        <v>1.0999999999999943</v>
      </c>
      <c r="D34" s="2">
        <f t="shared" ref="D34" si="14">D33-D32</f>
        <v>1.1599999999999966</v>
      </c>
      <c r="E34" s="2">
        <f t="shared" ref="E34" si="15">E33-E32</f>
        <v>0.34999999999999432</v>
      </c>
      <c r="F34" s="2">
        <f t="shared" ref="F34" si="16">F33-F32</f>
        <v>3.759999999999998</v>
      </c>
      <c r="G34" s="2">
        <f t="shared" ref="G34" si="17">G33-G32</f>
        <v>2.5499999999999972</v>
      </c>
      <c r="H34" s="2">
        <f t="shared" si="0"/>
        <v>2.0699999999999954</v>
      </c>
      <c r="I34" s="2">
        <f t="shared" si="1"/>
        <v>1.3333333333333286</v>
      </c>
    </row>
    <row r="35" spans="2:9" x14ac:dyDescent="0.2">
      <c r="B35">
        <v>67.209999999999994</v>
      </c>
      <c r="C35">
        <v>73.69</v>
      </c>
      <c r="D35">
        <v>81.73</v>
      </c>
      <c r="E35">
        <v>87.89</v>
      </c>
      <c r="F35">
        <v>39.950000000000003</v>
      </c>
      <c r="G35">
        <v>56.66</v>
      </c>
      <c r="H35">
        <f t="shared" si="0"/>
        <v>62.963333333333331</v>
      </c>
      <c r="I35">
        <f t="shared" si="1"/>
        <v>72.746666666666655</v>
      </c>
    </row>
    <row r="36" spans="2:9" x14ac:dyDescent="0.2">
      <c r="B36">
        <v>70</v>
      </c>
      <c r="C36">
        <v>76.08</v>
      </c>
      <c r="D36">
        <v>82.86</v>
      </c>
      <c r="E36">
        <v>88.24</v>
      </c>
      <c r="F36">
        <v>44.36</v>
      </c>
      <c r="G36">
        <v>60.13</v>
      </c>
      <c r="H36">
        <f t="shared" si="0"/>
        <v>65.740000000000009</v>
      </c>
      <c r="I36">
        <f t="shared" si="1"/>
        <v>74.816666666666663</v>
      </c>
    </row>
    <row r="37" spans="2:9" x14ac:dyDescent="0.2">
      <c r="B37" s="2">
        <f>B36-B35</f>
        <v>2.7900000000000063</v>
      </c>
      <c r="C37" s="2">
        <f t="shared" ref="C37" si="18">C36-C35</f>
        <v>2.3900000000000006</v>
      </c>
      <c r="D37" s="2">
        <f t="shared" ref="D37" si="19">D36-D35</f>
        <v>1.1299999999999955</v>
      </c>
      <c r="E37" s="2">
        <f t="shared" ref="E37" si="20">E36-E35</f>
        <v>0.34999999999999432</v>
      </c>
      <c r="F37" s="2">
        <f t="shared" ref="F37" si="21">F36-F35</f>
        <v>4.4099999999999966</v>
      </c>
      <c r="G37" s="2">
        <f t="shared" ref="G37" si="22">G36-G35</f>
        <v>3.470000000000006</v>
      </c>
      <c r="H37" s="2">
        <f t="shared" si="0"/>
        <v>2.776666666666666</v>
      </c>
      <c r="I37" s="2">
        <f t="shared" si="1"/>
        <v>2.0700000000000003</v>
      </c>
    </row>
    <row r="38" spans="2:9" x14ac:dyDescent="0.2">
      <c r="B38">
        <v>69.23</v>
      </c>
      <c r="C38">
        <v>75.569999999999993</v>
      </c>
      <c r="D38">
        <v>83.34</v>
      </c>
      <c r="E38">
        <v>89.44</v>
      </c>
      <c r="F38">
        <v>42.24</v>
      </c>
      <c r="G38">
        <v>58.59</v>
      </c>
      <c r="H38">
        <f t="shared" si="0"/>
        <v>64.936666666666667</v>
      </c>
      <c r="I38">
        <f t="shared" si="1"/>
        <v>74.533333333333331</v>
      </c>
    </row>
    <row r="39" spans="2:9" x14ac:dyDescent="0.2">
      <c r="B39">
        <v>73.28</v>
      </c>
      <c r="C39">
        <v>79.86</v>
      </c>
      <c r="D39">
        <v>83.52</v>
      </c>
      <c r="E39">
        <v>88.94</v>
      </c>
      <c r="F39">
        <v>46.16</v>
      </c>
      <c r="G39">
        <v>62.38</v>
      </c>
      <c r="H39">
        <f t="shared" si="0"/>
        <v>67.653333333333336</v>
      </c>
      <c r="I39">
        <f t="shared" si="1"/>
        <v>77.06</v>
      </c>
    </row>
    <row r="40" spans="2:9" x14ac:dyDescent="0.2">
      <c r="B40" s="2">
        <f>B39-B38</f>
        <v>4.0499999999999972</v>
      </c>
      <c r="C40" s="2">
        <f t="shared" ref="C40" si="23">C39-C38</f>
        <v>4.2900000000000063</v>
      </c>
      <c r="D40" s="2">
        <f t="shared" ref="D40" si="24">D39-D38</f>
        <v>0.17999999999999261</v>
      </c>
      <c r="E40" s="2">
        <f t="shared" ref="E40" si="25">E39-E38</f>
        <v>-0.5</v>
      </c>
      <c r="F40" s="2">
        <f t="shared" ref="F40" si="26">F39-F38</f>
        <v>3.9199999999999946</v>
      </c>
      <c r="G40" s="2">
        <f t="shared" ref="G40" si="27">G39-G38</f>
        <v>3.7899999999999991</v>
      </c>
      <c r="H40" s="2">
        <f t="shared" si="0"/>
        <v>2.7166666666666615</v>
      </c>
      <c r="I40" s="2">
        <f t="shared" si="1"/>
        <v>2.5266666666666686</v>
      </c>
    </row>
    <row r="41" spans="2:9" x14ac:dyDescent="0.2">
      <c r="B41" s="2"/>
      <c r="C41" s="2"/>
      <c r="D41" s="2"/>
      <c r="E41" s="2"/>
      <c r="F41" s="2"/>
      <c r="G41" s="2"/>
      <c r="H41" s="2"/>
      <c r="I41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Wenhao Yu</dc:creator>
  <cp:lastModifiedBy>Wenhao Yu</cp:lastModifiedBy>
  <dcterms:created xsi:type="dcterms:W3CDTF">2023-11-13T19:40:25Z</dcterms:created>
  <dcterms:modified xsi:type="dcterms:W3CDTF">2023-11-15T02:40:05Z</dcterms:modified>
</cp:coreProperties>
</file>